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ee\Desktop\grc\"/>
    </mc:Choice>
  </mc:AlternateContent>
  <xr:revisionPtr revIDLastSave="0" documentId="13_ncr:1_{E47924C4-A674-4E8E-AE57-79B67C802AAA}" xr6:coauthVersionLast="47" xr6:coauthVersionMax="47" xr10:uidLastSave="{00000000-0000-0000-0000-000000000000}"/>
  <bookViews>
    <workbookView xWindow="-108" yWindow="-108" windowWidth="23256" windowHeight="12456" xr2:uid="{AB9E8CE8-B82D-40DE-AFE7-BA234ABD2D4E}"/>
  </bookViews>
  <sheets>
    <sheet name="Sheet1" sheetId="1" r:id="rId1"/>
  </sheets>
  <externalReferences>
    <externalReference r:id="rId2"/>
  </externalReferenc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3" i="1" l="1"/>
  <c r="I23" i="1"/>
  <c r="O22" i="1"/>
  <c r="I22" i="1"/>
  <c r="O21" i="1"/>
  <c r="I21" i="1"/>
  <c r="O10" i="1"/>
  <c r="I10" i="1"/>
  <c r="O9" i="1"/>
  <c r="I9" i="1"/>
  <c r="I8" i="1"/>
  <c r="I7" i="1"/>
</calcChain>
</file>

<file path=xl/sharedStrings.xml><?xml version="1.0" encoding="utf-8"?>
<sst xmlns="http://schemas.openxmlformats.org/spreadsheetml/2006/main" count="228" uniqueCount="139">
  <si>
    <t>PROJECT ID</t>
  </si>
  <si>
    <t>PROJECT NAME</t>
  </si>
  <si>
    <t>PROJECT OMEGA</t>
  </si>
  <si>
    <t>RISK ASSESSMENT</t>
  </si>
  <si>
    <t>POST-MITIGATION</t>
  </si>
  <si>
    <t>JUDGEMENT</t>
  </si>
  <si>
    <t>REF / ID</t>
  </si>
  <si>
    <t>TOPIC</t>
  </si>
  <si>
    <t>RISK</t>
  </si>
  <si>
    <t>CONTROL ENVIRONMENT</t>
  </si>
  <si>
    <t>CONTROL ACTIVITIES</t>
  </si>
  <si>
    <t>RISK 
SEVERITY</t>
  </si>
  <si>
    <t>RISK LIKELIHOOD</t>
  </si>
  <si>
    <t>RISK 
LEVEL</t>
  </si>
  <si>
    <t>MITIGATIONS / WARNINGS / REMEDIES</t>
  </si>
  <si>
    <t>INFORMATION AND COMMUNICATIONS</t>
  </si>
  <si>
    <t>CONTROLS PRESENT?</t>
  </si>
  <si>
    <t>ACCEPTABLE 
TO PROCEED?</t>
  </si>
  <si>
    <t>COMMENTS AND NOTES</t>
  </si>
  <si>
    <t>Disaster recovery (DR)</t>
  </si>
  <si>
    <t>Not having data backup and verification capabilities physically on the premises in the event of a disaster.</t>
  </si>
  <si>
    <t>Duplicate off-premises data center so that one is on site and we have an accurate and reliable data redundancy between the two, in the event of a natural disaster.</t>
  </si>
  <si>
    <t>Set recovery plan objectives.</t>
  </si>
  <si>
    <t>ACCEPTABLE</t>
  </si>
  <si>
    <t>POSSIBLE</t>
  </si>
  <si>
    <t>Distinct data center redundancy testing.</t>
  </si>
  <si>
    <t>IT departmental meeting on PII and GDPR standards.</t>
  </si>
  <si>
    <t>YES</t>
  </si>
  <si>
    <t>IMPROBABLE</t>
  </si>
  <si>
    <t>Data integration</t>
  </si>
  <si>
    <t>TOLERABLE</t>
  </si>
  <si>
    <t>NO</t>
  </si>
  <si>
    <t>Access risk</t>
  </si>
  <si>
    <t>UNDESIRABLE</t>
  </si>
  <si>
    <t>PROBABLE</t>
  </si>
  <si>
    <t>Monitor regulatory compliance</t>
  </si>
  <si>
    <t>INTOLERABLE</t>
  </si>
  <si>
    <t>Inconsistent data during migration</t>
  </si>
  <si>
    <t>Standardized data formats; real-time validation checks</t>
  </si>
  <si>
    <t>ETL processes implemented</t>
  </si>
  <si>
    <t xml:space="preserve">Conduct regular data audits	</t>
  </si>
  <si>
    <t>Regular migration status updates</t>
  </si>
  <si>
    <t>Yes</t>
  </si>
  <si>
    <t>low</t>
  </si>
  <si>
    <t>Low</t>
  </si>
  <si>
    <t xml:space="preserve">	LOW</t>
  </si>
  <si>
    <t>Unauthorized access to sensitive systems</t>
  </si>
  <si>
    <t>Multi-factor authentication</t>
  </si>
  <si>
    <t>Regular access reviews</t>
  </si>
  <si>
    <t>Implement least-privilege access policies</t>
  </si>
  <si>
    <t>Quarterly access review reports</t>
  </si>
  <si>
    <t>Failure to meet new regulatory standards</t>
  </si>
  <si>
    <t>Compliance monitoring tools</t>
  </si>
  <si>
    <t>Training and audits</t>
  </si>
  <si>
    <t xml:space="preserve">	Create a compliance dashboard</t>
  </si>
  <si>
    <t>Monthly compliance review meetings</t>
  </si>
  <si>
    <t>Ensure backup before migration</t>
  </si>
  <si>
    <t>keep Backup</t>
  </si>
  <si>
    <t>Update team on new regulations</t>
  </si>
  <si>
    <t>Cloud Security</t>
  </si>
  <si>
    <t xml:space="preserve">	Phishing Awareness</t>
  </si>
  <si>
    <t>Network Segmentation</t>
  </si>
  <si>
    <t>Data Loss Prevention (DLP)</t>
  </si>
  <si>
    <t>Patch Management</t>
  </si>
  <si>
    <t>Insider Threat Detection</t>
  </si>
  <si>
    <t>Vendor Risk Management</t>
  </si>
  <si>
    <t>Endpoint Security</t>
  </si>
  <si>
    <t>Physical Security</t>
  </si>
  <si>
    <t>Backup and Recovery</t>
  </si>
  <si>
    <t>Data breach in cloud environment</t>
  </si>
  <si>
    <t>Enforced encryption and identity access management</t>
  </si>
  <si>
    <t>Regular vulnerability scanning</t>
  </si>
  <si>
    <t>Employees falling victim to phishing emails</t>
  </si>
  <si>
    <t>Security awareness training</t>
  </si>
  <si>
    <t>Simulated phishing campaigns</t>
  </si>
  <si>
    <t>Malware spreading across internal systems</t>
  </si>
  <si>
    <t>Segmentation policies; firewall rules</t>
  </si>
  <si>
    <t>Network monitoring</t>
  </si>
  <si>
    <t>Unauthorized data exfiltration</t>
  </si>
  <si>
    <t>DLP tools for data classification and monitoring</t>
  </si>
  <si>
    <t>Monitor sensitive data transfers</t>
  </si>
  <si>
    <t>Outdated software leading to vulnerabilities</t>
  </si>
  <si>
    <t>Automated patching system</t>
  </si>
  <si>
    <t>Regular patch audits</t>
  </si>
  <si>
    <t>Malicious activity from internal users</t>
  </si>
  <si>
    <t>Behavioral monitoring software</t>
  </si>
  <si>
    <t>Monitor user activity logs</t>
  </si>
  <si>
    <t>Vendor failing to meet SLA</t>
  </si>
  <si>
    <t>Regular vendor performance assessments</t>
  </si>
  <si>
    <t>Annual vendor audits</t>
  </si>
  <si>
    <t>Endpoint compromise due to weak controls</t>
  </si>
  <si>
    <t>Unauthorized physical access to facilities</t>
  </si>
  <si>
    <t>Inability to restore critical systems</t>
  </si>
  <si>
    <t>Endpoint Detection and Response (EDR) solutions</t>
  </si>
  <si>
    <t>Monitor endpoint activity</t>
  </si>
  <si>
    <t>Badge access system</t>
  </si>
  <si>
    <t>Monitor badge activity logs</t>
  </si>
  <si>
    <t>Scheduled and automated backups</t>
  </si>
  <si>
    <t>Test backup restoration regularly</t>
  </si>
  <si>
    <t>Extreme</t>
  </si>
  <si>
    <t>HIGH</t>
  </si>
  <si>
    <t>Probable</t>
  </si>
  <si>
    <t>Possible</t>
  </si>
  <si>
    <t>extreme</t>
  </si>
  <si>
    <t>high</t>
  </si>
  <si>
    <t>medium</t>
  </si>
  <si>
    <t>Conduct penetration tests</t>
  </si>
  <si>
    <t>Continuous phishing simulations</t>
  </si>
  <si>
    <t>Segment critical and non-critical systems</t>
  </si>
  <si>
    <t>Enforce strict DLP policies</t>
  </si>
  <si>
    <t>Perform weekly patch compliance checks</t>
  </si>
  <si>
    <t>Implement anomaly detection</t>
  </si>
  <si>
    <t>Include SLA breach penalties</t>
  </si>
  <si>
    <t>Apply centralized endpoint monitoring</t>
  </si>
  <si>
    <t>Strengthen access policies for sensitive areas</t>
  </si>
  <si>
    <t>Ensure backups are encrypted</t>
  </si>
  <si>
    <t>Real-time cloud monitoring reports</t>
  </si>
  <si>
    <t>Awareness newsletters</t>
  </si>
  <si>
    <t>Weekly firewall and traffic reports</t>
  </si>
  <si>
    <t>Monthly DLP effectiveness reports</t>
  </si>
  <si>
    <t>Patch deployment logs</t>
  </si>
  <si>
    <t>Monthly behavioral audit reports</t>
  </si>
  <si>
    <t>Quarterly vendor scorecards</t>
  </si>
  <si>
    <t>Endpoint activity dashboard</t>
  </si>
  <si>
    <t>Facility access audit reports</t>
  </si>
  <si>
    <t>Backup status reports</t>
  </si>
  <si>
    <t xml:space="preserve">	IMPROBABLE</t>
  </si>
  <si>
    <t>Ensure cloud provider compliance</t>
  </si>
  <si>
    <t>Add anti-phishing tools</t>
  </si>
  <si>
    <t>Test segmentation periodically</t>
  </si>
  <si>
    <t>Train staff on DLP practices</t>
  </si>
  <si>
    <t>Automate patch reminders</t>
  </si>
  <si>
    <t>Expand monitoring capabilities</t>
  </si>
  <si>
    <t>Establish strict vendor SLAs</t>
  </si>
  <si>
    <t>Test EDR tools regularly</t>
  </si>
  <si>
    <t>Conduct regular access reviews</t>
  </si>
  <si>
    <t>Perform quarterly backup tests</t>
  </si>
  <si>
    <t xml:space="preserve">                                                         PROJECT MANAGER</t>
  </si>
  <si>
    <t xml:space="preserve">                                          Anjeeshnu Banerjee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</si>
</sst>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1"/>
    </font>
    <font>
      <b/>
      <sz val="24"/>
      <color theme="1" tint="0.34998626667073579"/>
      <name val="Century Gothic"/>
      <family val="1"/>
    </font>
    <font>
      <sz val="9"/>
      <color indexed="8"/>
      <name val="Century Gothic"/>
      <family val="1"/>
    </font>
    <font>
      <sz val="14"/>
      <color theme="8" tint="-0.249977111117893"/>
      <name val="Century Gothic"/>
      <family val="1"/>
    </font>
    <font>
      <sz val="11"/>
      <color theme="1"/>
      <name val="Century Gothic"/>
      <family val="1"/>
    </font>
    <font>
      <sz val="12"/>
      <color theme="1"/>
      <name val="Century Gothic"/>
      <family val="1"/>
    </font>
    <font>
      <sz val="14"/>
      <color theme="1"/>
      <name val="Century Gothic"/>
      <family val="1"/>
    </font>
    <font>
      <b/>
      <sz val="9"/>
      <color theme="1"/>
      <name val="Century Gothic"/>
      <family val="1"/>
    </font>
    <font>
      <sz val="9"/>
      <color theme="1"/>
      <name val="Century Gothic"/>
      <family val="1"/>
    </font>
    <font>
      <b/>
      <sz val="10"/>
      <color theme="1"/>
      <name val="Century Gothic"/>
      <family val="1"/>
    </font>
    <font>
      <b/>
      <sz val="10"/>
      <color theme="0"/>
      <name val="Century Gothic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n">
        <color theme="0" tint="-0.24994659260841701"/>
      </bottom>
      <diagonal/>
    </border>
    <border>
      <left/>
      <right/>
      <top style="medium">
        <color theme="0" tint="-0.249977111117893"/>
      </top>
      <bottom style="thin">
        <color theme="0" tint="-0.24994659260841701"/>
      </bottom>
      <diagonal/>
    </border>
    <border>
      <left/>
      <right style="thin">
        <color theme="0" tint="-0.249977111117893"/>
      </right>
      <top style="medium">
        <color theme="0" tint="-0.249977111117893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wrapText="1" indent="1"/>
    </xf>
    <xf numFmtId="0" fontId="3" fillId="0" borderId="0" xfId="0" applyFont="1"/>
    <xf numFmtId="0" fontId="4" fillId="3" borderId="2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0" fillId="0" borderId="0" xfId="0" applyAlignment="1">
      <alignment wrapText="1"/>
    </xf>
    <xf numFmtId="0" fontId="5" fillId="0" borderId="0" xfId="0" applyFont="1" applyAlignment="1">
      <alignment horizontal="left" vertical="center" wrapText="1" indent="1"/>
    </xf>
    <xf numFmtId="0" fontId="5" fillId="0" borderId="0" xfId="0" applyFont="1" applyAlignment="1">
      <alignment wrapText="1"/>
    </xf>
    <xf numFmtId="0" fontId="7" fillId="0" borderId="0" xfId="0" applyFont="1" applyAlignment="1">
      <alignment horizontal="left" vertical="center" indent="1"/>
    </xf>
    <xf numFmtId="0" fontId="6" fillId="5" borderId="6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 wrapText="1" indent="1"/>
    </xf>
    <xf numFmtId="0" fontId="8" fillId="7" borderId="2" xfId="0" applyFont="1" applyFill="1" applyBorder="1" applyAlignment="1">
      <alignment horizontal="left" vertical="center" wrapText="1" indent="1"/>
    </xf>
    <xf numFmtId="0" fontId="8" fillId="7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left" vertical="center" wrapText="1" indent="1"/>
    </xf>
    <xf numFmtId="0" fontId="9" fillId="0" borderId="2" xfId="0" applyFont="1" applyBorder="1" applyAlignment="1">
      <alignment horizontal="left" vertical="center" wrapText="1" indent="1"/>
    </xf>
    <xf numFmtId="0" fontId="1" fillId="4" borderId="2" xfId="0" applyFont="1" applyFill="1" applyBorder="1" applyAlignment="1">
      <alignment horizontal="left" vertical="center" wrapText="1" indent="1"/>
    </xf>
    <xf numFmtId="0" fontId="10" fillId="6" borderId="2" xfId="0" applyFont="1" applyFill="1" applyBorder="1" applyAlignment="1">
      <alignment horizontal="left" vertical="center" wrapText="1" indent="1"/>
    </xf>
    <xf numFmtId="0" fontId="11" fillId="0" borderId="2" xfId="0" applyFont="1" applyBorder="1" applyAlignment="1">
      <alignment horizontal="center" vertical="center" wrapText="1"/>
    </xf>
    <xf numFmtId="0" fontId="1" fillId="9" borderId="2" xfId="0" applyFont="1" applyFill="1" applyBorder="1" applyAlignment="1">
      <alignment horizontal="left" vertical="center" wrapText="1" indent="1"/>
    </xf>
    <xf numFmtId="0" fontId="10" fillId="7" borderId="2" xfId="0" applyFont="1" applyFill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8" borderId="2" xfId="0" applyFont="1" applyFill="1" applyBorder="1" applyAlignment="1">
      <alignment horizontal="left" vertical="center" wrapText="1" indent="1"/>
    </xf>
    <xf numFmtId="0" fontId="10" fillId="0" borderId="2" xfId="0" applyFont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15">
    <dxf>
      <font>
        <b val="0"/>
        <i val="0"/>
        <color theme="1"/>
      </font>
      <fill>
        <patternFill>
          <bgColor rgb="FF4BFCF2"/>
        </patternFill>
      </fill>
    </dxf>
    <dxf>
      <font>
        <b val="0"/>
        <i val="0"/>
        <color theme="1"/>
      </font>
      <fill>
        <patternFill>
          <bgColor rgb="FFFF5B37"/>
        </patternFill>
      </fill>
    </dxf>
    <dxf>
      <font>
        <b val="0"/>
        <i val="0"/>
        <color theme="1"/>
      </font>
      <fill>
        <patternFill>
          <bgColor rgb="FF4BFCF2"/>
        </patternFill>
      </fill>
    </dxf>
    <dxf>
      <font>
        <b val="0"/>
        <i val="0"/>
        <color theme="1"/>
      </font>
      <fill>
        <patternFill>
          <bgColor rgb="FFFF5B37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A80B"/>
        </patternFill>
      </fill>
    </dxf>
    <dxf>
      <font>
        <b val="0"/>
        <i val="0"/>
        <color auto="1"/>
      </font>
      <fill>
        <patternFill>
          <bgColor rgb="FFFFEC97"/>
        </patternFill>
      </fill>
    </dxf>
    <dxf>
      <font>
        <b val="0"/>
        <i val="0"/>
        <color auto="1"/>
      </font>
      <fill>
        <patternFill>
          <bgColor rgb="FF65F7C6"/>
        </patternFill>
      </fill>
    </dxf>
    <dxf>
      <fill>
        <patternFill>
          <bgColor theme="7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402590</xdr:colOff>
      <xdr:row>0</xdr:row>
      <xdr:rowOff>102235</xdr:rowOff>
    </xdr:from>
    <xdr:to>
      <xdr:col>31</xdr:col>
      <xdr:colOff>191559</xdr:colOff>
      <xdr:row>38</xdr:row>
      <xdr:rowOff>125185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311E39-5CB6-41DF-94BB-25DE18289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4590" y="102235"/>
          <a:ext cx="6494569" cy="120611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jee\Desktop\IC-Simple-Compliance-Risk-Assessment-Template-Example.xlsx" TargetMode="External"/><Relationship Id="rId1" Type="http://schemas.openxmlformats.org/officeDocument/2006/relationships/externalLinkPath" Target="/Users/anjee/Desktop/IC-Simple-Compliance-Risk-Assessment-Template-Examp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AMPLE - Risk Assessment"/>
      <sheetName val="BLANK - Risk Assessment"/>
      <sheetName val="Matrix Key - DO NOT DELETE - "/>
      <sheetName val="- Disclaimer -"/>
    </sheetNames>
    <sheetDataSet>
      <sheetData sheetId="0"/>
      <sheetData sheetId="1"/>
      <sheetData sheetId="2">
        <row r="18">
          <cell r="D18" t="str">
            <v>ACCEPTABLE</v>
          </cell>
          <cell r="E18" t="str">
            <v>TOLERABLE</v>
          </cell>
          <cell r="F18" t="str">
            <v>UNDESIRABLE</v>
          </cell>
          <cell r="G18" t="str">
            <v>INTOLERABLE</v>
          </cell>
        </row>
        <row r="19">
          <cell r="C19" t="str">
            <v>IMPROBABLE</v>
          </cell>
          <cell r="D19" t="str">
            <v>LOW</v>
          </cell>
          <cell r="E19" t="str">
            <v>MEDIUM</v>
          </cell>
          <cell r="F19" t="str">
            <v>MEDIUM</v>
          </cell>
          <cell r="G19" t="str">
            <v>HIGH</v>
          </cell>
        </row>
        <row r="20">
          <cell r="C20" t="str">
            <v>POSSIBLE</v>
          </cell>
          <cell r="D20" t="str">
            <v>LOW</v>
          </cell>
          <cell r="E20" t="str">
            <v>MEDIUM</v>
          </cell>
          <cell r="F20" t="str">
            <v>HIGH</v>
          </cell>
          <cell r="G20" t="str">
            <v>EXTREME</v>
          </cell>
        </row>
        <row r="21">
          <cell r="C21" t="str">
            <v>PROBABLE</v>
          </cell>
          <cell r="D21" t="str">
            <v>MEDIUM</v>
          </cell>
          <cell r="E21" t="str">
            <v>HIGH</v>
          </cell>
          <cell r="F21" t="str">
            <v>HIGH</v>
          </cell>
          <cell r="G21" t="str">
            <v>EXTREME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7F4E8-910D-411E-8D98-61E287349DBA}">
  <dimension ref="A1:T23"/>
  <sheetViews>
    <sheetView tabSelected="1" zoomScale="63" zoomScaleNormal="63" workbookViewId="0">
      <selection activeCell="I1" sqref="I1"/>
    </sheetView>
  </sheetViews>
  <sheetFormatPr defaultRowHeight="14.4" x14ac:dyDescent="0.3"/>
  <cols>
    <col min="2" max="2" width="19.5546875" customWidth="1"/>
    <col min="3" max="3" width="33.77734375" customWidth="1"/>
    <col min="4" max="4" width="27.5546875" customWidth="1"/>
    <col min="5" max="5" width="28.5546875" customWidth="1"/>
    <col min="6" max="6" width="17.109375" customWidth="1"/>
    <col min="7" max="7" width="17.21875" customWidth="1"/>
    <col min="8" max="8" width="19" customWidth="1"/>
    <col min="9" max="9" width="17.88671875" customWidth="1"/>
    <col min="10" max="10" width="26.44140625" customWidth="1"/>
    <col min="11" max="11" width="21.6640625" customWidth="1"/>
    <col min="12" max="12" width="12.5546875" customWidth="1"/>
    <col min="13" max="13" width="14.77734375" customWidth="1"/>
    <col min="14" max="14" width="21" customWidth="1"/>
    <col min="16" max="16" width="22.109375" customWidth="1"/>
    <col min="17" max="17" width="29.21875" customWidth="1"/>
  </cols>
  <sheetData>
    <row r="1" spans="1:20" ht="29.4" x14ac:dyDescent="0.3">
      <c r="A1" s="1"/>
      <c r="B1" s="2"/>
      <c r="C1" s="3"/>
      <c r="D1" s="1"/>
      <c r="E1" s="1"/>
      <c r="F1" s="1"/>
      <c r="G1" s="3"/>
      <c r="H1" s="3"/>
      <c r="I1" s="3"/>
      <c r="J1" s="3"/>
      <c r="K1" s="1"/>
      <c r="L1" s="1"/>
      <c r="M1" s="3"/>
      <c r="N1" s="1"/>
      <c r="O1" s="1"/>
      <c r="P1" s="1"/>
      <c r="Q1" s="1"/>
      <c r="R1" s="1"/>
      <c r="S1" s="1"/>
      <c r="T1" s="1"/>
    </row>
    <row r="2" spans="1:20" x14ac:dyDescent="0.3">
      <c r="B2" s="4" t="s">
        <v>0</v>
      </c>
      <c r="C2" s="31" t="s">
        <v>1</v>
      </c>
      <c r="D2" s="31"/>
      <c r="E2" s="31"/>
      <c r="F2" s="31" t="s">
        <v>137</v>
      </c>
      <c r="G2" s="31"/>
      <c r="H2" s="31"/>
      <c r="I2" s="4"/>
      <c r="J2" s="4"/>
      <c r="K2" s="4"/>
      <c r="L2" s="4"/>
      <c r="M2" s="32"/>
      <c r="N2" s="32"/>
      <c r="O2" s="32"/>
    </row>
    <row r="3" spans="1:20" ht="16.8" x14ac:dyDescent="0.3">
      <c r="B3" s="5">
        <v>1234</v>
      </c>
      <c r="C3" s="33" t="s">
        <v>2</v>
      </c>
      <c r="D3" s="33"/>
      <c r="E3" s="33"/>
      <c r="F3" s="33" t="s">
        <v>138</v>
      </c>
      <c r="G3" s="33"/>
      <c r="H3" s="33"/>
      <c r="I3" s="6"/>
      <c r="J3" s="6"/>
      <c r="K3" s="6"/>
      <c r="L3" s="6"/>
      <c r="M3" s="34"/>
      <c r="N3" s="34"/>
      <c r="O3" s="34"/>
    </row>
    <row r="4" spans="1:20" ht="15" thickBot="1" x14ac:dyDescent="0.35"/>
    <row r="5" spans="1:20" ht="16.8" x14ac:dyDescent="0.3">
      <c r="A5" s="7"/>
      <c r="B5" s="8"/>
      <c r="C5" s="8"/>
      <c r="D5" s="9"/>
      <c r="E5" s="9"/>
      <c r="F5" s="9"/>
      <c r="G5" s="25" t="s">
        <v>3</v>
      </c>
      <c r="H5" s="26"/>
      <c r="I5" s="27"/>
      <c r="J5" s="10"/>
      <c r="K5" s="8"/>
      <c r="L5" s="8"/>
      <c r="M5" s="28" t="s">
        <v>4</v>
      </c>
      <c r="N5" s="29"/>
      <c r="O5" s="30"/>
      <c r="P5" s="11" t="s">
        <v>5</v>
      </c>
      <c r="Q5" s="10"/>
      <c r="R5" s="10"/>
      <c r="S5" s="7"/>
      <c r="T5" s="7"/>
    </row>
    <row r="6" spans="1:20" ht="34.200000000000003" x14ac:dyDescent="0.3">
      <c r="A6" s="7"/>
      <c r="B6" s="12" t="s">
        <v>6</v>
      </c>
      <c r="C6" s="12" t="s">
        <v>7</v>
      </c>
      <c r="D6" s="12" t="s">
        <v>8</v>
      </c>
      <c r="E6" s="12" t="s">
        <v>9</v>
      </c>
      <c r="F6" s="12" t="s">
        <v>10</v>
      </c>
      <c r="G6" s="12" t="s">
        <v>11</v>
      </c>
      <c r="H6" s="12" t="s">
        <v>12</v>
      </c>
      <c r="I6" s="12" t="s">
        <v>13</v>
      </c>
      <c r="J6" s="13" t="s">
        <v>14</v>
      </c>
      <c r="K6" s="13" t="s">
        <v>15</v>
      </c>
      <c r="L6" s="14" t="s">
        <v>16</v>
      </c>
      <c r="M6" s="13" t="s">
        <v>11</v>
      </c>
      <c r="N6" s="13" t="s">
        <v>12</v>
      </c>
      <c r="O6" s="13" t="s">
        <v>13</v>
      </c>
      <c r="P6" s="14" t="s">
        <v>17</v>
      </c>
      <c r="Q6" s="14" t="s">
        <v>18</v>
      </c>
      <c r="R6" s="7"/>
      <c r="S6" s="7"/>
      <c r="T6" s="7"/>
    </row>
    <row r="7" spans="1:20" ht="79.2" x14ac:dyDescent="0.3">
      <c r="A7" s="7"/>
      <c r="B7" s="15">
        <v>1.1000000000000001</v>
      </c>
      <c r="C7" s="16" t="s">
        <v>19</v>
      </c>
      <c r="D7" s="16" t="s">
        <v>20</v>
      </c>
      <c r="E7" s="16" t="s">
        <v>21</v>
      </c>
      <c r="F7" s="16" t="s">
        <v>22</v>
      </c>
      <c r="G7" s="17" t="s">
        <v>23</v>
      </c>
      <c r="H7" s="17" t="s">
        <v>24</v>
      </c>
      <c r="I7" s="18" t="str">
        <f>IFERROR(INDEX('[1]Matrix Key - DO NOT DELETE - '!$D$19:$G$21, MATCH($H7,'[1]Matrix Key - DO NOT DELETE - '!$C$19:$C$21), MATCH($G7,'[1]Matrix Key - DO NOT DELETE - '!$D$18:$G$18,0)),"")</f>
        <v>LOW</v>
      </c>
      <c r="J7" s="16" t="s">
        <v>25</v>
      </c>
      <c r="K7" s="16" t="s">
        <v>26</v>
      </c>
      <c r="L7" s="19" t="s">
        <v>27</v>
      </c>
      <c r="M7" s="20" t="s">
        <v>43</v>
      </c>
      <c r="N7" s="20" t="s">
        <v>28</v>
      </c>
      <c r="O7" s="21" t="s">
        <v>44</v>
      </c>
      <c r="P7" s="19" t="s">
        <v>27</v>
      </c>
      <c r="Q7" s="22" t="s">
        <v>57</v>
      </c>
      <c r="R7" s="7"/>
      <c r="S7" s="7"/>
      <c r="T7" s="7"/>
    </row>
    <row r="8" spans="1:20" ht="39.6" x14ac:dyDescent="0.3">
      <c r="A8" s="7"/>
      <c r="B8" s="23">
        <v>1.2</v>
      </c>
      <c r="C8" s="22" t="s">
        <v>29</v>
      </c>
      <c r="D8" s="22" t="s">
        <v>37</v>
      </c>
      <c r="E8" s="22" t="s">
        <v>38</v>
      </c>
      <c r="F8" s="22" t="s">
        <v>39</v>
      </c>
      <c r="G8" s="17" t="s">
        <v>30</v>
      </c>
      <c r="H8" s="17" t="s">
        <v>24</v>
      </c>
      <c r="I8" s="18" t="str">
        <f>IFERROR(INDEX('[1]Matrix Key - DO NOT DELETE - '!$D$19:$G$21, MATCH($H8,'[1]Matrix Key - DO NOT DELETE - '!$C$19:$C$21), MATCH($G8,'[1]Matrix Key - DO NOT DELETE - '!$D$18:$G$18,0)),"")</f>
        <v>MEDIUM</v>
      </c>
      <c r="J8" s="16" t="s">
        <v>40</v>
      </c>
      <c r="K8" s="16" t="s">
        <v>41</v>
      </c>
      <c r="L8" s="19" t="s">
        <v>42</v>
      </c>
      <c r="M8" s="20" t="s">
        <v>43</v>
      </c>
      <c r="N8" s="20" t="s">
        <v>28</v>
      </c>
      <c r="O8" s="21" t="s">
        <v>45</v>
      </c>
      <c r="P8" s="19" t="s">
        <v>27</v>
      </c>
      <c r="Q8" s="22" t="s">
        <v>56</v>
      </c>
      <c r="R8" s="7"/>
      <c r="S8" s="7"/>
      <c r="T8" s="7"/>
    </row>
    <row r="9" spans="1:20" ht="39.6" x14ac:dyDescent="0.3">
      <c r="A9" s="7"/>
      <c r="B9" s="23">
        <v>1.3</v>
      </c>
      <c r="C9" s="22" t="s">
        <v>32</v>
      </c>
      <c r="D9" s="22" t="s">
        <v>46</v>
      </c>
      <c r="E9" s="22" t="s">
        <v>47</v>
      </c>
      <c r="F9" s="22" t="s">
        <v>48</v>
      </c>
      <c r="G9" s="17" t="s">
        <v>33</v>
      </c>
      <c r="H9" s="17" t="s">
        <v>34</v>
      </c>
      <c r="I9" s="18" t="str">
        <f>IFERROR(INDEX('[1]Matrix Key - DO NOT DELETE - '!$D$19:$G$21, MATCH($H9,'[1]Matrix Key - DO NOT DELETE - '!$C$19:$C$21), MATCH($G9,'[1]Matrix Key - DO NOT DELETE - '!$D$18:$G$18,0)),"")</f>
        <v>HIGH</v>
      </c>
      <c r="J9" s="16" t="s">
        <v>49</v>
      </c>
      <c r="K9" s="16" t="s">
        <v>50</v>
      </c>
      <c r="L9" s="19" t="s">
        <v>27</v>
      </c>
      <c r="M9" s="20" t="s">
        <v>30</v>
      </c>
      <c r="N9" s="20" t="s">
        <v>24</v>
      </c>
      <c r="O9" s="21" t="str">
        <f>IFERROR(INDEX('[1]Matrix Key - DO NOT DELETE - '!$D$19:$G$21, MATCH($N9,'[1]Matrix Key - DO NOT DELETE - '!$C$19:$C$21), MATCH($M9,'[1]Matrix Key - DO NOT DELETE - '!$D$18:$G$18,0)),"")</f>
        <v>MEDIUM</v>
      </c>
      <c r="P9" s="19" t="s">
        <v>27</v>
      </c>
      <c r="Q9" s="22" t="s">
        <v>58</v>
      </c>
      <c r="R9" s="7"/>
      <c r="S9" s="7"/>
      <c r="T9" s="7"/>
    </row>
    <row r="10" spans="1:20" ht="26.4" x14ac:dyDescent="0.3">
      <c r="A10" s="7"/>
      <c r="B10" s="23">
        <v>1.4</v>
      </c>
      <c r="C10" s="22" t="s">
        <v>35</v>
      </c>
      <c r="D10" s="22" t="s">
        <v>51</v>
      </c>
      <c r="E10" s="22" t="s">
        <v>52</v>
      </c>
      <c r="F10" s="22" t="s">
        <v>53</v>
      </c>
      <c r="G10" s="17" t="s">
        <v>36</v>
      </c>
      <c r="H10" s="17" t="s">
        <v>34</v>
      </c>
      <c r="I10" s="18" t="str">
        <f>IFERROR(INDEX('[1]Matrix Key - DO NOT DELETE - '!$D$19:$G$21, MATCH($H10,'[1]Matrix Key - DO NOT DELETE - '!$C$19:$C$21), MATCH($G10,'[1]Matrix Key - DO NOT DELETE - '!$D$18:$G$18,0)),"")</f>
        <v>EXTREME</v>
      </c>
      <c r="J10" s="16" t="s">
        <v>54</v>
      </c>
      <c r="K10" s="16" t="s">
        <v>55</v>
      </c>
      <c r="L10" s="19" t="s">
        <v>27</v>
      </c>
      <c r="M10" s="20" t="s">
        <v>33</v>
      </c>
      <c r="N10" s="20" t="s">
        <v>34</v>
      </c>
      <c r="O10" s="21" t="str">
        <f>IFERROR(INDEX('[1]Matrix Key - DO NOT DELETE - '!$D$19:$G$21, MATCH($N10,'[1]Matrix Key - DO NOT DELETE - '!$C$19:$C$21), MATCH($M10,'[1]Matrix Key - DO NOT DELETE - '!$D$18:$G$18,0)),"")</f>
        <v>HIGH</v>
      </c>
      <c r="P10" s="19" t="s">
        <v>31</v>
      </c>
      <c r="Q10" s="22" t="s">
        <v>58</v>
      </c>
      <c r="R10" s="7"/>
      <c r="S10" s="7"/>
      <c r="T10" s="7"/>
    </row>
    <row r="11" spans="1:20" ht="39.6" x14ac:dyDescent="0.3">
      <c r="A11" s="7"/>
      <c r="B11" s="23">
        <v>1.5</v>
      </c>
      <c r="C11" s="22" t="s">
        <v>59</v>
      </c>
      <c r="D11" s="22" t="s">
        <v>69</v>
      </c>
      <c r="E11" s="22" t="s">
        <v>70</v>
      </c>
      <c r="F11" s="22" t="s">
        <v>71</v>
      </c>
      <c r="G11" s="17" t="s">
        <v>36</v>
      </c>
      <c r="H11" s="17" t="s">
        <v>102</v>
      </c>
      <c r="I11" s="18" t="s">
        <v>99</v>
      </c>
      <c r="J11" s="16" t="s">
        <v>106</v>
      </c>
      <c r="K11" s="16" t="s">
        <v>116</v>
      </c>
      <c r="L11" s="19" t="s">
        <v>27</v>
      </c>
      <c r="M11" s="20" t="s">
        <v>43</v>
      </c>
      <c r="N11" s="20" t="s">
        <v>28</v>
      </c>
      <c r="O11" s="21" t="s">
        <v>43</v>
      </c>
      <c r="P11" s="24" t="s">
        <v>42</v>
      </c>
      <c r="Q11" s="22" t="s">
        <v>127</v>
      </c>
      <c r="R11" s="7"/>
      <c r="S11" s="7"/>
      <c r="T11" s="7"/>
    </row>
    <row r="12" spans="1:20" ht="39.6" x14ac:dyDescent="0.3">
      <c r="A12" s="7"/>
      <c r="B12" s="23">
        <v>1.6</v>
      </c>
      <c r="C12" s="22" t="s">
        <v>60</v>
      </c>
      <c r="D12" s="22" t="s">
        <v>72</v>
      </c>
      <c r="E12" s="22" t="s">
        <v>73</v>
      </c>
      <c r="F12" s="22" t="s">
        <v>74</v>
      </c>
      <c r="G12" s="17" t="s">
        <v>36</v>
      </c>
      <c r="H12" s="17" t="s">
        <v>101</v>
      </c>
      <c r="I12" s="18" t="s">
        <v>100</v>
      </c>
      <c r="J12" s="16" t="s">
        <v>107</v>
      </c>
      <c r="K12" s="16" t="s">
        <v>117</v>
      </c>
      <c r="L12" s="19" t="s">
        <v>27</v>
      </c>
      <c r="M12" s="20" t="s">
        <v>105</v>
      </c>
      <c r="N12" s="20" t="s">
        <v>24</v>
      </c>
      <c r="O12" s="21" t="s">
        <v>43</v>
      </c>
      <c r="P12" s="24" t="s">
        <v>42</v>
      </c>
      <c r="Q12" s="22" t="s">
        <v>128</v>
      </c>
      <c r="R12" s="7"/>
      <c r="S12" s="7"/>
      <c r="T12" s="7"/>
    </row>
    <row r="13" spans="1:20" ht="26.4" x14ac:dyDescent="0.3">
      <c r="A13" s="7"/>
      <c r="B13" s="23">
        <v>1.7</v>
      </c>
      <c r="C13" s="22" t="s">
        <v>61</v>
      </c>
      <c r="D13" s="22" t="s">
        <v>75</v>
      </c>
      <c r="E13" s="22" t="s">
        <v>76</v>
      </c>
      <c r="F13" s="22" t="s">
        <v>77</v>
      </c>
      <c r="G13" s="17" t="s">
        <v>36</v>
      </c>
      <c r="H13" s="17" t="s">
        <v>24</v>
      </c>
      <c r="I13" s="18" t="s">
        <v>103</v>
      </c>
      <c r="J13" s="16" t="s">
        <v>108</v>
      </c>
      <c r="K13" s="16" t="s">
        <v>118</v>
      </c>
      <c r="L13" s="19" t="s">
        <v>27</v>
      </c>
      <c r="M13" s="20" t="s">
        <v>43</v>
      </c>
      <c r="N13" s="20" t="s">
        <v>28</v>
      </c>
      <c r="O13" s="21" t="s">
        <v>43</v>
      </c>
      <c r="P13" s="24" t="s">
        <v>42</v>
      </c>
      <c r="Q13" s="22" t="s">
        <v>129</v>
      </c>
      <c r="R13" s="7"/>
      <c r="S13" s="7"/>
      <c r="T13" s="7"/>
    </row>
    <row r="14" spans="1:20" ht="39.6" x14ac:dyDescent="0.3">
      <c r="A14" s="7"/>
      <c r="B14" s="23">
        <v>1.8</v>
      </c>
      <c r="C14" s="22" t="s">
        <v>62</v>
      </c>
      <c r="D14" s="22" t="s">
        <v>78</v>
      </c>
      <c r="E14" s="22" t="s">
        <v>79</v>
      </c>
      <c r="F14" s="22" t="s">
        <v>80</v>
      </c>
      <c r="G14" s="17" t="s">
        <v>36</v>
      </c>
      <c r="H14" s="17" t="s">
        <v>24</v>
      </c>
      <c r="I14" s="18" t="s">
        <v>104</v>
      </c>
      <c r="J14" s="16" t="s">
        <v>109</v>
      </c>
      <c r="K14" s="16" t="s">
        <v>119</v>
      </c>
      <c r="L14" s="19" t="s">
        <v>27</v>
      </c>
      <c r="M14" s="20" t="s">
        <v>105</v>
      </c>
      <c r="N14" s="20" t="s">
        <v>24</v>
      </c>
      <c r="O14" s="21" t="s">
        <v>105</v>
      </c>
      <c r="P14" s="24" t="s">
        <v>42</v>
      </c>
      <c r="Q14" s="22" t="s">
        <v>130</v>
      </c>
      <c r="R14" s="7"/>
      <c r="S14" s="7"/>
      <c r="T14" s="7"/>
    </row>
    <row r="15" spans="1:20" ht="26.4" x14ac:dyDescent="0.3">
      <c r="A15" s="7"/>
      <c r="B15" s="23">
        <v>1.9</v>
      </c>
      <c r="C15" s="22" t="s">
        <v>63</v>
      </c>
      <c r="D15" s="22" t="s">
        <v>81</v>
      </c>
      <c r="E15" s="22" t="s">
        <v>82</v>
      </c>
      <c r="F15" s="22" t="s">
        <v>83</v>
      </c>
      <c r="G15" s="17" t="s">
        <v>36</v>
      </c>
      <c r="H15" s="17" t="s">
        <v>24</v>
      </c>
      <c r="I15" s="18" t="s">
        <v>104</v>
      </c>
      <c r="J15" s="16" t="s">
        <v>110</v>
      </c>
      <c r="K15" s="16" t="s">
        <v>120</v>
      </c>
      <c r="L15" s="19" t="s">
        <v>27</v>
      </c>
      <c r="M15" s="20" t="s">
        <v>43</v>
      </c>
      <c r="N15" s="20" t="s">
        <v>126</v>
      </c>
      <c r="O15" s="21" t="s">
        <v>43</v>
      </c>
      <c r="P15" s="24" t="s">
        <v>42</v>
      </c>
      <c r="Q15" s="22" t="s">
        <v>131</v>
      </c>
      <c r="R15" s="7"/>
      <c r="S15" s="7"/>
      <c r="T15" s="7"/>
    </row>
    <row r="16" spans="1:20" ht="26.4" x14ac:dyDescent="0.3">
      <c r="A16" s="7"/>
      <c r="B16" s="23">
        <v>2.1</v>
      </c>
      <c r="C16" s="22" t="s">
        <v>64</v>
      </c>
      <c r="D16" s="22" t="s">
        <v>84</v>
      </c>
      <c r="E16" s="22" t="s">
        <v>85</v>
      </c>
      <c r="F16" s="22" t="s">
        <v>86</v>
      </c>
      <c r="G16" s="17" t="s">
        <v>36</v>
      </c>
      <c r="H16" s="17" t="s">
        <v>24</v>
      </c>
      <c r="I16" s="18" t="s">
        <v>104</v>
      </c>
      <c r="J16" s="16" t="s">
        <v>111</v>
      </c>
      <c r="K16" s="16" t="s">
        <v>121</v>
      </c>
      <c r="L16" s="19" t="s">
        <v>27</v>
      </c>
      <c r="M16" s="20" t="s">
        <v>43</v>
      </c>
      <c r="N16" s="20" t="s">
        <v>28</v>
      </c>
      <c r="O16" s="21" t="s">
        <v>43</v>
      </c>
      <c r="P16" s="24" t="s">
        <v>42</v>
      </c>
      <c r="Q16" s="22" t="s">
        <v>132</v>
      </c>
      <c r="R16" s="7"/>
      <c r="S16" s="7"/>
      <c r="T16" s="7"/>
    </row>
    <row r="17" spans="1:20" ht="26.4" x14ac:dyDescent="0.3">
      <c r="A17" s="7"/>
      <c r="B17" s="23">
        <v>2.2000000000000002</v>
      </c>
      <c r="C17" s="22" t="s">
        <v>65</v>
      </c>
      <c r="D17" s="22" t="s">
        <v>87</v>
      </c>
      <c r="E17" s="22" t="s">
        <v>88</v>
      </c>
      <c r="F17" s="22" t="s">
        <v>89</v>
      </c>
      <c r="G17" s="17" t="s">
        <v>36</v>
      </c>
      <c r="H17" s="17" t="s">
        <v>24</v>
      </c>
      <c r="I17" s="18" t="s">
        <v>105</v>
      </c>
      <c r="J17" s="16" t="s">
        <v>112</v>
      </c>
      <c r="K17" s="16" t="s">
        <v>122</v>
      </c>
      <c r="L17" s="19" t="s">
        <v>27</v>
      </c>
      <c r="M17" s="20" t="s">
        <v>43</v>
      </c>
      <c r="N17" s="20" t="s">
        <v>28</v>
      </c>
      <c r="O17" s="21" t="s">
        <v>43</v>
      </c>
      <c r="P17" s="24" t="s">
        <v>42</v>
      </c>
      <c r="Q17" s="22" t="s">
        <v>133</v>
      </c>
      <c r="R17" s="7"/>
      <c r="S17" s="7"/>
      <c r="T17" s="7"/>
    </row>
    <row r="18" spans="1:20" ht="39.6" x14ac:dyDescent="0.3">
      <c r="A18" s="7"/>
      <c r="B18" s="23">
        <v>2.2999999999999998</v>
      </c>
      <c r="C18" s="22" t="s">
        <v>66</v>
      </c>
      <c r="D18" s="22" t="s">
        <v>90</v>
      </c>
      <c r="E18" s="22" t="s">
        <v>93</v>
      </c>
      <c r="F18" s="22" t="s">
        <v>94</v>
      </c>
      <c r="G18" s="17" t="s">
        <v>36</v>
      </c>
      <c r="H18" s="17" t="s">
        <v>24</v>
      </c>
      <c r="I18" s="18" t="s">
        <v>104</v>
      </c>
      <c r="J18" s="16" t="s">
        <v>113</v>
      </c>
      <c r="K18" s="16" t="s">
        <v>123</v>
      </c>
      <c r="L18" s="19" t="s">
        <v>27</v>
      </c>
      <c r="M18" s="20" t="s">
        <v>43</v>
      </c>
      <c r="N18" s="20" t="s">
        <v>28</v>
      </c>
      <c r="O18" s="21" t="s">
        <v>43</v>
      </c>
      <c r="P18" s="24" t="s">
        <v>42</v>
      </c>
      <c r="Q18" s="22" t="s">
        <v>134</v>
      </c>
      <c r="R18" s="7"/>
      <c r="S18" s="7"/>
      <c r="T18" s="7"/>
    </row>
    <row r="19" spans="1:20" ht="26.4" x14ac:dyDescent="0.3">
      <c r="A19" s="7"/>
      <c r="B19" s="23">
        <v>2.4</v>
      </c>
      <c r="C19" s="22" t="s">
        <v>67</v>
      </c>
      <c r="D19" s="22" t="s">
        <v>91</v>
      </c>
      <c r="E19" s="22" t="s">
        <v>95</v>
      </c>
      <c r="F19" s="22" t="s">
        <v>96</v>
      </c>
      <c r="G19" s="17" t="s">
        <v>36</v>
      </c>
      <c r="H19" s="17" t="s">
        <v>24</v>
      </c>
      <c r="I19" s="18" t="s">
        <v>105</v>
      </c>
      <c r="J19" s="16" t="s">
        <v>114</v>
      </c>
      <c r="K19" s="16" t="s">
        <v>124</v>
      </c>
      <c r="L19" s="19" t="s">
        <v>27</v>
      </c>
      <c r="M19" s="20" t="s">
        <v>43</v>
      </c>
      <c r="N19" s="20" t="s">
        <v>126</v>
      </c>
      <c r="O19" s="21" t="s">
        <v>43</v>
      </c>
      <c r="P19" s="24" t="s">
        <v>42</v>
      </c>
      <c r="Q19" s="22" t="s">
        <v>135</v>
      </c>
      <c r="R19" s="7"/>
      <c r="S19" s="7"/>
      <c r="T19" s="7"/>
    </row>
    <row r="20" spans="1:20" ht="39.6" x14ac:dyDescent="0.3">
      <c r="A20" s="7"/>
      <c r="B20" s="23">
        <v>2.5</v>
      </c>
      <c r="C20" s="22" t="s">
        <v>68</v>
      </c>
      <c r="D20" s="22" t="s">
        <v>92</v>
      </c>
      <c r="E20" s="22" t="s">
        <v>97</v>
      </c>
      <c r="F20" s="22" t="s">
        <v>98</v>
      </c>
      <c r="G20" s="17" t="s">
        <v>36</v>
      </c>
      <c r="H20" s="17" t="s">
        <v>101</v>
      </c>
      <c r="I20" s="18" t="s">
        <v>104</v>
      </c>
      <c r="J20" s="16" t="s">
        <v>115</v>
      </c>
      <c r="K20" s="16" t="s">
        <v>125</v>
      </c>
      <c r="L20" s="19" t="s">
        <v>27</v>
      </c>
      <c r="M20" s="20" t="s">
        <v>43</v>
      </c>
      <c r="N20" s="20" t="s">
        <v>28</v>
      </c>
      <c r="O20" s="21" t="s">
        <v>43</v>
      </c>
      <c r="P20" s="24" t="s">
        <v>42</v>
      </c>
      <c r="Q20" s="22" t="s">
        <v>136</v>
      </c>
      <c r="R20" s="7"/>
      <c r="S20" s="7"/>
      <c r="T20" s="7"/>
    </row>
    <row r="21" spans="1:20" x14ac:dyDescent="0.3">
      <c r="A21" s="7"/>
      <c r="B21" s="23"/>
      <c r="C21" s="22"/>
      <c r="D21" s="22"/>
      <c r="E21" s="22"/>
      <c r="F21" s="22"/>
      <c r="G21" s="17"/>
      <c r="H21" s="17"/>
      <c r="I21" s="18" t="str">
        <f>IFERROR(INDEX('[1]Matrix Key - DO NOT DELETE - '!$D$19:$G$21, MATCH($H21,'[1]Matrix Key - DO NOT DELETE - '!$C$19:$C$21), MATCH($G21,'[1]Matrix Key - DO NOT DELETE - '!$D$18:$G$18,0)),"")</f>
        <v/>
      </c>
      <c r="J21" s="16"/>
      <c r="K21" s="16"/>
      <c r="L21" s="19"/>
      <c r="M21" s="20"/>
      <c r="N21" s="20"/>
      <c r="O21" s="21" t="str">
        <f>IFERROR(INDEX('[1]Matrix Key - DO NOT DELETE - '!$D$19:$G$21, MATCH($N21,'[1]Matrix Key - DO NOT DELETE - '!$C$19:$C$21), MATCH($M21,'[1]Matrix Key - DO NOT DELETE - '!$D$18:$G$18,0)),"")</f>
        <v/>
      </c>
      <c r="P21" s="24"/>
      <c r="Q21" s="22"/>
      <c r="R21" s="7"/>
      <c r="S21" s="7"/>
      <c r="T21" s="7"/>
    </row>
    <row r="22" spans="1:20" x14ac:dyDescent="0.3">
      <c r="A22" s="7"/>
      <c r="B22" s="23"/>
      <c r="C22" s="22"/>
      <c r="D22" s="22"/>
      <c r="E22" s="22"/>
      <c r="F22" s="22"/>
      <c r="G22" s="17"/>
      <c r="H22" s="17"/>
      <c r="I22" s="18" t="str">
        <f>IFERROR(INDEX('[1]Matrix Key - DO NOT DELETE - '!$D$19:$G$21, MATCH($H22,'[1]Matrix Key - DO NOT DELETE - '!$C$19:$C$21), MATCH($G22,'[1]Matrix Key - DO NOT DELETE - '!$D$18:$G$18,0)),"")</f>
        <v/>
      </c>
      <c r="J22" s="16"/>
      <c r="K22" s="16"/>
      <c r="L22" s="19"/>
      <c r="M22" s="20"/>
      <c r="N22" s="20"/>
      <c r="O22" s="21" t="str">
        <f>IFERROR(INDEX('[1]Matrix Key - DO NOT DELETE - '!$D$19:$G$21, MATCH($N22,'[1]Matrix Key - DO NOT DELETE - '!$C$19:$C$21), MATCH($M22,'[1]Matrix Key - DO NOT DELETE - '!$D$18:$G$18,0)),"")</f>
        <v/>
      </c>
      <c r="P22" s="24"/>
      <c r="Q22" s="22"/>
      <c r="R22" s="7"/>
      <c r="S22" s="7"/>
      <c r="T22" s="7"/>
    </row>
    <row r="23" spans="1:20" x14ac:dyDescent="0.3">
      <c r="A23" s="7"/>
      <c r="B23" s="23"/>
      <c r="C23" s="22"/>
      <c r="D23" s="22"/>
      <c r="E23" s="22"/>
      <c r="F23" s="22"/>
      <c r="G23" s="17"/>
      <c r="H23" s="17"/>
      <c r="I23" s="18" t="str">
        <f>IFERROR(INDEX('[1]Matrix Key - DO NOT DELETE - '!$D$19:$G$21, MATCH($H23,'[1]Matrix Key - DO NOT DELETE - '!$C$19:$C$21), MATCH($G23,'[1]Matrix Key - DO NOT DELETE - '!$D$18:$G$18,0)),"")</f>
        <v/>
      </c>
      <c r="J23" s="16"/>
      <c r="K23" s="16"/>
      <c r="L23" s="19"/>
      <c r="M23" s="20"/>
      <c r="N23" s="20"/>
      <c r="O23" s="21" t="str">
        <f>IFERROR(INDEX('[1]Matrix Key - DO NOT DELETE - '!$D$19:$G$21, MATCH($N23,'[1]Matrix Key - DO NOT DELETE - '!$C$19:$C$21), MATCH($M23,'[1]Matrix Key - DO NOT DELETE - '!$D$18:$G$18,0)),"")</f>
        <v/>
      </c>
      <c r="P23" s="24"/>
      <c r="Q23" s="22"/>
      <c r="R23" s="7"/>
      <c r="S23" s="7"/>
      <c r="T23" s="7"/>
    </row>
  </sheetData>
  <mergeCells count="8">
    <mergeCell ref="G5:I5"/>
    <mergeCell ref="M5:O5"/>
    <mergeCell ref="C2:E2"/>
    <mergeCell ref="F2:H2"/>
    <mergeCell ref="M2:O2"/>
    <mergeCell ref="C3:E3"/>
    <mergeCell ref="F3:H3"/>
    <mergeCell ref="M3:O3"/>
  </mergeCells>
  <conditionalFormatting sqref="M7:M23 G7:G23">
    <cfRule type="containsText" dxfId="14" priority="12" operator="containsText" text="INTOLERABLE">
      <formula>NOT(ISERROR(SEARCH("INTOLERABLE",G7)))</formula>
    </cfRule>
    <cfRule type="containsText" dxfId="13" priority="13" operator="containsText" text="UNDESIRABLE">
      <formula>NOT(ISERROR(SEARCH("UNDESIRABLE",G7)))</formula>
    </cfRule>
    <cfRule type="containsText" dxfId="12" priority="14" operator="containsText" text="TOLERABLE">
      <formula>NOT(ISERROR(SEARCH("TOLERABLE",G7)))</formula>
    </cfRule>
    <cfRule type="containsText" dxfId="11" priority="15" operator="containsText" text="ACCEPTABLE">
      <formula>NOT(ISERROR(SEARCH("ACCEPTABLE",G7)))</formula>
    </cfRule>
  </conditionalFormatting>
  <conditionalFormatting sqref="N7:N23 H7:H23">
    <cfRule type="containsText" dxfId="10" priority="9" operator="containsText" text="POSSIBLE">
      <formula>NOT(ISERROR(SEARCH("POSSIBLE",H7)))</formula>
    </cfRule>
    <cfRule type="containsText" dxfId="9" priority="10" operator="containsText" text="IMPROBABLE">
      <formula>NOT(ISERROR(SEARCH("IMPROBABLE",H7)))</formula>
    </cfRule>
    <cfRule type="containsText" dxfId="8" priority="11" operator="containsText" text="PROBABLE">
      <formula>NOT(ISERROR(SEARCH("PROBABLE",H7)))</formula>
    </cfRule>
  </conditionalFormatting>
  <conditionalFormatting sqref="I7:I23 O7:O23">
    <cfRule type="containsText" dxfId="7" priority="5" operator="containsText" text="LOW">
      <formula>NOT(ISERROR(SEARCH("LOW",I7)))</formula>
    </cfRule>
    <cfRule type="containsText" dxfId="6" priority="6" operator="containsText" text="MEDIUM">
      <formula>NOT(ISERROR(SEARCH("MEDIUM",I7)))</formula>
    </cfRule>
    <cfRule type="containsText" dxfId="5" priority="7" operator="containsText" text="HIGH">
      <formula>NOT(ISERROR(SEARCH("HIGH",I7)))</formula>
    </cfRule>
    <cfRule type="containsText" dxfId="4" priority="8" operator="containsText" text="EXTREME">
      <formula>NOT(ISERROR(SEARCH("EXTREME",I7)))</formula>
    </cfRule>
  </conditionalFormatting>
  <conditionalFormatting sqref="L7:L23">
    <cfRule type="containsText" dxfId="3" priority="1" operator="containsText" text="NO">
      <formula>NOT(ISERROR(SEARCH("NO",L7)))</formula>
    </cfRule>
    <cfRule type="containsText" dxfId="2" priority="2" operator="containsText" text="YES">
      <formula>NOT(ISERROR(SEARCH("YES",L7)))</formula>
    </cfRule>
  </conditionalFormatting>
  <conditionalFormatting sqref="P7:P23">
    <cfRule type="containsText" dxfId="1" priority="3" operator="containsText" text="NO">
      <formula>NOT(ISERROR(SEARCH("NO",P7)))</formula>
    </cfRule>
    <cfRule type="containsText" dxfId="0" priority="4" operator="containsText" text="YES">
      <formula>NOT(ISERROR(SEARCH("YES",P7)))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ANJEESHNU BANERJEE</dc:creator>
  <cp:lastModifiedBy>ANJEESHNU BANERJEE</cp:lastModifiedBy>
  <dcterms:created xsi:type="dcterms:W3CDTF">2025-01-24T09:45:08Z</dcterms:created>
  <dcterms:modified xsi:type="dcterms:W3CDTF">2025-01-24T13:13:59Z</dcterms:modified>
</cp:coreProperties>
</file>